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project\MapUp-Data-Assessment-F\"/>
    </mc:Choice>
  </mc:AlternateContent>
  <xr:revisionPtr revIDLastSave="0" documentId="13_ncr:1_{39C6920D-4E9C-4875-99CF-B2D703DCA194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<sst xmlns="http://schemas.openxmlformats.org/spreadsheetml/2006/main" count="419" uniqueCount="195">
  <si>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</si>
  <si>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</si>
  <si>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</si>
  <si>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</si>
  <si>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</si>
  <si>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</si>
  <si>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</si>
  <si>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</si>
  <si>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</si>
  <si>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</si>
  <si>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</si>
  <si>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</si>
  <si>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</si>
  <si>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</si>
  <si>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</si>
  <si>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</si>
  <si>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</si>
  <si>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</si>
  <si>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</si>
  <si>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</si>
  <si>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</si>
  <si>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</si>
  <si>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</si>
  <si>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</si>
  <si>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</si>
  <si>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</si>
  <si>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</si>
  <si>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</si>
  <si>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</si>
  <si>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</si>
  <si>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</si>
  <si>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</si>
  <si>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</si>
  <si>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</si>
  <si>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</si>
  <si>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</si>
  <si>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</si>
  <si>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</si>
  <si>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</si>
  <si>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</si>
  <si>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</si>
  <si>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</si>
  <si>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</si>
  <si>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</si>
  <si>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</si>
  <si>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</si>
  <si>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</si>
  <si>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</si>
  <si>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</si>
  <si>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</si>
  <si>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</si>
  <si>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</si>
  <si>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</si>
  <si>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</si>
  <si>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</si>
  <si>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</si>
  <si>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</si>
  <si>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</si>
  <si>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</si>
  <si>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</si>
  <si>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</si>
  <si>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</si>
  <si>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</si>
  <si>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</si>
  <si>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</si>
  <si>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</si>
  <si>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</si>
  <si>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</si>
  <si>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</si>
  <si>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</si>
  <si>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</si>
  <si>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</si>
  <si>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</si>
  <si>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</si>
  <si>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</si>
  <si>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</si>
  <si>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</si>
  <si>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</si>
  <si>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</si>
  <si>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</si>
  <si>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</si>
  <si>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</si>
  <si>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</si>
  <si>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</si>
  <si>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</si>
  <si>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</si>
  <si>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</si>
  <si>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</si>
  <si>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</si>
  <si>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</si>
  <si>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</si>
  <si>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</si>
  <si>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</si>
  <si>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</si>
  <si>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</si>
  <si>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</si>
  <si>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</si>
  <si>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</si>
  <si>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</si>
  <si>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</si>
  <si>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</si>
  <si>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</si>
  <si>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</si>
  <si>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</si>
  <si>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</si>
  <si>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</si>
  <si>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</si>
  <si>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</si>
  <si>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</si>
  <si>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</si>
  <si>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</si>
  <si>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</si>
  <si>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</si>
  <si>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</si>
  <si>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</si>
  <si>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</si>
  <si>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</si>
  <si>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</si>
  <si>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</si>
  <si>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</si>
  <si>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</si>
  <si>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</si>
  <si>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</si>
  <si>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</si>
  <si>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</si>
  <si>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</si>
  <si>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</si>
  <si>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</si>
  <si>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</si>
  <si>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</si>
  <si>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</si>
  <si>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</si>
  <si>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</si>
  <si>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</si>
  <si>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</si>
  <si>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</si>
  <si>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</si>
  <si>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</si>
  <si>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</si>
  <si>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</si>
  <si>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</si>
  <si>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</si>
  <si>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</si>
  <si>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</si>
  <si>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</si>
  <si>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</si>
  <si>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</si>
  <si>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</si>
  <si>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</si>
  <si>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</si>
  <si>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</si>
  <si>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</si>
  <si>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</si>
  <si>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</si>
  <si>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</si>
  <si>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</si>
  <si>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</si>
  <si>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</si>
  <si>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</si>
  <si>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</si>
  <si>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</si>
  <si>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</si>
  <si>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</si>
  <si>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</si>
  <si>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</si>
  <si>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</si>
  <si>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</si>
  <si>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</si>
  <si>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</si>
  <si>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</si>
  <si>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</si>
  <si>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</si>
  <si>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</si>
  <si>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</si>
  <si>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</si>
  <si>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</si>
  <si>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</si>
  <si>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Initially, I manually fill the first row. Then, I select the Flash Fill option from the Data tab and use it to fill the remaining cells.</t>
  </si>
  <si>
    <t>I have utilized the built-in functionality Flash Fill to fill the cells, as shown in the example.</t>
  </si>
  <si>
    <t>Initially, I use the Find and Replace option to replace all #N/A values with 20. Then, I use the SUM formula to calculate the sum.</t>
  </si>
  <si>
    <t xml:space="preserve">First I use the Find and repllace Functionality  after that I used the Sum formula   =SUM(C12:C21)   </t>
  </si>
  <si>
    <t>INDEX($B$10:$J$18,MATCH(A23,$M$10:$M$18,0),MATCH(B23,$M$10:$M$18,0))</t>
  </si>
  <si>
    <t xml:space="preserve">The formula combines  MATCH, and INDEX to fetch a value from Table_A based on match values in Table_B. </t>
  </si>
  <si>
    <t>INDEX($B$10:$J$18,MATCH(A24,$M$10:$M$18,0),MATCH(B24,$M$10:$M$18,0))</t>
  </si>
  <si>
    <t>INDEX($B$10:$J$18,MATCH(A25,$M$10:$M$18,0),MATCH(B25,$M$10:$M$18,0))</t>
  </si>
  <si>
    <t>INDEX($B$10:$J$18,MATCH(A26,$M$10:$M$18,0),MATCH(B26,$M$10:$M$18,0))</t>
  </si>
  <si>
    <t>INDEX($B$10:$J$18,MATCH(A27,$M$10:$M$18,0),MATCH(B27,$M$10:$M$18,0))</t>
  </si>
  <si>
    <t>INDEX($B$10:$J$18,MATCH(A28,$M$10:$M$18,0),MATCH(B28,$M$10:$M$18,0))</t>
  </si>
  <si>
    <t>INDEX($B$10:$J$18,MATCH(A29,$M$10:$M$18,0),MATCH(B29,$M$10:$M$18,0))</t>
  </si>
  <si>
    <t>INDEX($B$10:$J$18,MATCH(A30,$M$10:$M$18,0),MATCH(B30,$M$10:$M$18,0))</t>
  </si>
  <si>
    <t>INDEX($B$10:$J$18,MATCH(A31,$M$10:$M$18,0),MATCH(B31,$M$10:$M$18,0))</t>
  </si>
  <si>
    <t>INDEX($B$10:$J$18,MATCH(A32,$M$10:$M$18,0),MATCH(B32,$M$10:$M$18,0))</t>
  </si>
  <si>
    <t>INDEX($B$10:$J$18,MATCH(A33,$M$10:$M$18,0),MATCH(B33,$M$10:$M$18,0))</t>
  </si>
  <si>
    <t>INDEX($B$10:$J$18,MATCH(A34,$M$10:$M$18,0),MATCH(B34,$M$10:$M$18,0))</t>
  </si>
  <si>
    <t>INDEX($B$10:$J$18,MATCH(A35,$M$10:$M$18,0),MATCH(B35,$M$10:$M$18,0))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</si>
</sst>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37415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166" fontId="7" fillId="0" borderId="0" xfId="0" applyNumberFormat="1" applyFont="1"/>
    <xf numFmtId="0" fontId="18" fillId="0" borderId="0" xfId="0" applyFont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E20" sqref="E20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P1" zoomScaleNormal="100" workbookViewId="0">
      <pane ySplit="1" topLeftCell="A26" activePane="bottomLeft" state="frozen"/>
      <selection pane="bottomLeft" activeCell="W42" sqref="W4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21" style="43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G2:V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4" sqref="C4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>
        <f>SUMIF(Dataset!H:H, 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pane ySplit="5" topLeftCell="A6" activePane="bottomLeft" state="frozen"/>
      <selection pane="bottomLeft" activeCell="I19" sqref="I1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10">
        <f>VLOOKUP(A6,Dataset!A1:X40,7,0)</f>
        <v>2.7</v>
      </c>
      <c r="C6" s="10">
        <f>VLOOKUP(A6,Dataset!A1:X40,14,0)</f>
        <v>7.6</v>
      </c>
      <c r="D6" s="10">
        <f>VLOOKUP(A6,Dataset!A1:Y40,18,0)</f>
        <v>4.2</v>
      </c>
      <c r="E6" s="10">
        <f>VLOOKUP(A6,Dataset!A1:Z40,20,0)</f>
        <v>8.9</v>
      </c>
      <c r="F6" s="10">
        <f>VLOOKUP(A6,Dataset!A1:AA40,22,0)</f>
        <v>4.2</v>
      </c>
    </row>
    <row r="7" spans="1:7" ht="15" x14ac:dyDescent="0.25">
      <c r="A7" s="7" t="s">
        <v>4</v>
      </c>
      <c r="B7" s="10">
        <f>VLOOKUP(A7,Dataset!A2:X41,7,0)</f>
        <v>2.7</v>
      </c>
      <c r="C7" s="10">
        <f>VLOOKUP(A7,Dataset!A2:X41,14,0)</f>
        <v>7.6</v>
      </c>
      <c r="D7" s="10">
        <f>VLOOKUP(A7,Dataset!A2:Y41,18,0)</f>
        <v>4.2</v>
      </c>
      <c r="E7" s="10">
        <f>VLOOKUP(A7,Dataset!A2:Z41,20,0)</f>
        <v>8.9</v>
      </c>
      <c r="F7" s="10">
        <f>VLOOKUP(A7,Dataset!A2:AA41,22,0)</f>
        <v>4.2</v>
      </c>
    </row>
    <row r="8" spans="1:7" ht="15" x14ac:dyDescent="0.25">
      <c r="A8" s="7" t="s">
        <v>7</v>
      </c>
      <c r="B8" s="10">
        <f>VLOOKUP(A8,Dataset!A3:X42,7,0)</f>
        <v>3.6</v>
      </c>
      <c r="C8" s="10">
        <f>VLOOKUP(A8,Dataset!A3:X42,14,0)</f>
        <v>11.1</v>
      </c>
      <c r="D8" s="10">
        <f>VLOOKUP(A8,Dataset!A3:Y42,18,0)</f>
        <v>5.8</v>
      </c>
      <c r="E8" s="10">
        <f>VLOOKUP(A8,Dataset!A3:Z42,20,0)</f>
        <v>12.2</v>
      </c>
      <c r="F8" s="10">
        <f>VLOOKUP(A8,Dataset!A3:AA42,22,0)</f>
        <v>5.8</v>
      </c>
    </row>
    <row r="9" spans="1:7" ht="15" x14ac:dyDescent="0.25">
      <c r="A9" s="7" t="s">
        <v>8</v>
      </c>
      <c r="B9" s="10">
        <f>VLOOKUP(A9,Dataset!A4:X43,7,0)</f>
        <v>4.9000000000000004</v>
      </c>
      <c r="C9" s="10">
        <f>VLOOKUP(A9,Dataset!A4:X43,14,0)</f>
        <v>13.3</v>
      </c>
      <c r="D9" s="10">
        <f>VLOOKUP(A9,Dataset!A4:Y43,18,0)</f>
        <v>8.1</v>
      </c>
      <c r="E9" s="10">
        <f>VLOOKUP(A9,Dataset!A4:Z43,20,0)</f>
        <v>17</v>
      </c>
      <c r="F9" s="10">
        <f>VLOOKUP(A9,Dataset!A4:AA43,22,0)</f>
        <v>8.1</v>
      </c>
    </row>
    <row r="10" spans="1:7" ht="15" x14ac:dyDescent="0.25">
      <c r="A10" s="7" t="s">
        <v>11</v>
      </c>
      <c r="B10" s="10">
        <f>VLOOKUP(A10,Dataset!A5:X44,7,0)</f>
        <v>9.4</v>
      </c>
      <c r="C10" s="10">
        <f>VLOOKUP(A10,Dataset!A5:X44,14,0)</f>
        <v>28.3</v>
      </c>
      <c r="D10" s="10">
        <f>VLOOKUP(A10,Dataset!A5:Y44,18,0)</f>
        <v>16.100000000000001</v>
      </c>
      <c r="E10" s="10">
        <f>VLOOKUP(A10,Dataset!A5:Z44,20,0)</f>
        <v>32.799999999999997</v>
      </c>
      <c r="F10" s="10">
        <f>VLOOKUP(A10,Dataset!A5:AA44,22,0)</f>
        <v>16.100000000000001</v>
      </c>
    </row>
    <row r="11" spans="1:7" ht="15" x14ac:dyDescent="0.25">
      <c r="A11" s="7" t="s">
        <v>12</v>
      </c>
      <c r="B11" s="10">
        <f>VLOOKUP(A11,Dataset!A6:X45,7,0)</f>
        <v>11.6</v>
      </c>
      <c r="C11" s="10">
        <f>VLOOKUP(A11,Dataset!A6:X45,14,0)</f>
        <v>35.200000000000003</v>
      </c>
      <c r="D11" s="10">
        <f>VLOOKUP(A11,Dataset!A6:Y45,18,0)</f>
        <v>21.3</v>
      </c>
      <c r="E11" s="10">
        <f>VLOOKUP(A11,Dataset!A6:Z45,20,0)</f>
        <v>43</v>
      </c>
      <c r="F11" s="10">
        <f>VLOOKUP(A11,Dataset!A6:AA45,22,0)</f>
        <v>21.3</v>
      </c>
    </row>
    <row r="12" spans="1:7" ht="15" x14ac:dyDescent="0.25">
      <c r="A12" s="7" t="s">
        <v>14</v>
      </c>
      <c r="B12" s="10">
        <f>VLOOKUP(A12,Dataset!A7:X46,7,0)</f>
        <v>18.399999999999999</v>
      </c>
      <c r="C12" s="10">
        <f>VLOOKUP(A12,Dataset!A7:X46,14,0)</f>
        <v>55.6</v>
      </c>
      <c r="D12" s="10">
        <f>VLOOKUP(A12,Dataset!A7:Y46,18,0)</f>
        <v>33.799999999999997</v>
      </c>
      <c r="E12" s="10">
        <f>VLOOKUP(A12,Dataset!A7:Z46,20,0)</f>
        <v>67.900000000000006</v>
      </c>
      <c r="F12" s="10">
        <f>VLOOKUP(A12,Dataset!A7:AA46,22,0)</f>
        <v>33.799999999999997</v>
      </c>
    </row>
    <row r="13" spans="1:7" ht="15" x14ac:dyDescent="0.25">
      <c r="A13" s="7" t="s">
        <v>15</v>
      </c>
      <c r="B13" s="10">
        <f>VLOOKUP(A13,Dataset!A8:X47,7,0)</f>
        <v>0</v>
      </c>
      <c r="C13" s="10">
        <f>VLOOKUP(A13,Dataset!A8:X47,14,0)</f>
        <v>0</v>
      </c>
      <c r="D13" s="10">
        <f>VLOOKUP(A13,Dataset!A8:Y47,18,0)</f>
        <v>0</v>
      </c>
      <c r="E13" s="10">
        <f>VLOOKUP(A13,Dataset!A8:Z47,20,0)</f>
        <v>0</v>
      </c>
      <c r="F13" s="10">
        <f>VLOOKUP(A13,Dataset!A8:AA47,22,0)</f>
        <v>0</v>
      </c>
    </row>
    <row r="14" spans="1:7" ht="15" x14ac:dyDescent="0.25">
      <c r="A14" s="7" t="s">
        <v>16</v>
      </c>
      <c r="B14" s="10">
        <f>VLOOKUP(A14,Dataset!A9:X48,7,0)</f>
        <v>21.9</v>
      </c>
      <c r="C14" s="10">
        <f>VLOOKUP(A14,Dataset!A9:X48,14,0)</f>
        <v>61.5</v>
      </c>
      <c r="D14" s="10">
        <f>VLOOKUP(A14,Dataset!A9:Y48,18,0)</f>
        <v>40.1</v>
      </c>
      <c r="E14" s="10">
        <f>VLOOKUP(A14,Dataset!A9:Z48,20,0)</f>
        <v>76.599999999999994</v>
      </c>
      <c r="F14" s="10">
        <f>VLOOKUP(A14,Dataset!A9:AA48,22,0)</f>
        <v>40.1</v>
      </c>
    </row>
    <row r="15" spans="1:7" ht="15" x14ac:dyDescent="0.25">
      <c r="A15" s="7" t="s">
        <v>18</v>
      </c>
      <c r="B15" s="10">
        <f>VLOOKUP(A15,Dataset!A10:X49,7,0)</f>
        <v>26.8</v>
      </c>
      <c r="C15" s="10">
        <f>VLOOKUP(A15,Dataset!A10:X49,14,0)</f>
        <v>79.599999999999994</v>
      </c>
      <c r="D15" s="10">
        <f>VLOOKUP(A15,Dataset!A10:Y49,18,0)</f>
        <v>47.9</v>
      </c>
      <c r="E15" s="10">
        <f>VLOOKUP(A15,Dataset!A10:Z49,20,0)</f>
        <v>96.8</v>
      </c>
      <c r="F15" s="10">
        <f>VLOOKUP(A15,Dataset!A10:AA49,22,0)</f>
        <v>47.9</v>
      </c>
    </row>
    <row r="16" spans="1:7" ht="15" x14ac:dyDescent="0.25">
      <c r="A16" s="7" t="s">
        <v>20</v>
      </c>
      <c r="B16" s="10">
        <f>VLOOKUP(A16,Dataset!A11:X50,7,0)</f>
        <v>28.5</v>
      </c>
      <c r="C16" s="10">
        <f>VLOOKUP(A16,Dataset!A11:X50,14,0)</f>
        <v>85.4</v>
      </c>
      <c r="D16" s="10">
        <f>VLOOKUP(A16,Dataset!A11:Y50,18,0)</f>
        <v>52.3</v>
      </c>
      <c r="E16" s="10">
        <f>VLOOKUP(A16,Dataset!A11:Z50,20,0)</f>
        <v>106.1</v>
      </c>
      <c r="F16" s="10">
        <f>VLOOKUP(A16,Dataset!A11:AA50,22,0)</f>
        <v>52.3</v>
      </c>
    </row>
    <row r="17" spans="1:6" ht="15" x14ac:dyDescent="0.25">
      <c r="A17" s="7" t="s">
        <v>22</v>
      </c>
      <c r="B17" s="10">
        <f>VLOOKUP(A17,Dataset!A12:X51,7,0)</f>
        <v>30.7</v>
      </c>
      <c r="C17" s="10">
        <f>VLOOKUP(A17,Dataset!A12:X51,14,0)</f>
        <v>92.1</v>
      </c>
      <c r="D17" s="10">
        <f>VLOOKUP(A17,Dataset!A12:Y51,18,0)</f>
        <v>57</v>
      </c>
      <c r="E17" s="10">
        <f>VLOOKUP(A17,Dataset!A12:Z51,20,0)</f>
        <v>115.1</v>
      </c>
      <c r="F17" s="10">
        <f>VLOOKUP(A17,Dataset!A12:AA51,22,0)</f>
        <v>57</v>
      </c>
    </row>
    <row r="18" spans="1:6" ht="15" x14ac:dyDescent="0.25">
      <c r="A18" s="7" t="s">
        <v>23</v>
      </c>
      <c r="B18" s="10">
        <f>VLOOKUP(A18,Dataset!A13:X52,7,0)</f>
        <v>33.799999999999997</v>
      </c>
      <c r="C18" s="10">
        <f>VLOOKUP(A18,Dataset!A13:X52,14,0)</f>
        <v>101.3</v>
      </c>
      <c r="D18" s="10">
        <f>VLOOKUP(A18,Dataset!A13:Y52,18,0)</f>
        <v>61.4</v>
      </c>
      <c r="E18" s="10">
        <f>VLOOKUP(A18,Dataset!A13:Z52,20,0)</f>
        <v>124.4</v>
      </c>
      <c r="F18" s="10">
        <f>VLOOKUP(A18,Dataset!A13:AA52,22,0)</f>
        <v>61.4</v>
      </c>
    </row>
    <row r="19" spans="1:6" ht="15" x14ac:dyDescent="0.25">
      <c r="A19" s="7" t="s">
        <v>24</v>
      </c>
      <c r="B19" s="10">
        <f>VLOOKUP(A19,Dataset!A14:X53,7,0)</f>
        <v>34.700000000000003</v>
      </c>
      <c r="C19" s="10">
        <f>VLOOKUP(A19,Dataset!A14:X53,14,0)</f>
        <v>106.1</v>
      </c>
      <c r="D19" s="10">
        <f>VLOOKUP(A19,Dataset!A14:Y53,18,0)</f>
        <v>63.6</v>
      </c>
      <c r="E19" s="10">
        <f>VLOOKUP(A19,Dataset!A14:Z53,20,0)</f>
        <v>128.6</v>
      </c>
      <c r="F19" s="10">
        <f>VLOOKUP(A19,Dataset!A14:AA53,22,0)</f>
        <v>63.6</v>
      </c>
    </row>
    <row r="20" spans="1:6" ht="15" x14ac:dyDescent="0.25">
      <c r="A20" s="7" t="s">
        <v>28</v>
      </c>
      <c r="B20" s="10">
        <f>VLOOKUP(A20,Dataset!A15:X54,7,0)</f>
        <v>0</v>
      </c>
      <c r="C20" s="10">
        <f>VLOOKUP(A20,Dataset!A15:X54,14,0)</f>
        <v>0</v>
      </c>
      <c r="D20" s="10">
        <f>VLOOKUP(A20,Dataset!A15:Y54,18,0)</f>
        <v>0</v>
      </c>
      <c r="E20" s="10">
        <f>VLOOKUP(A20,Dataset!A15:Z54,20,0)</f>
        <v>0</v>
      </c>
      <c r="F20" s="10">
        <f>VLOOKUP(A20,Dataset!A15:AA54,22,0)</f>
        <v>0</v>
      </c>
    </row>
    <row r="21" spans="1:6" ht="15" x14ac:dyDescent="0.25">
      <c r="A21" s="7" t="s">
        <v>57</v>
      </c>
      <c r="B21" s="10">
        <f>VLOOKUP(A21,Dataset!A16:X55,7,0)</f>
        <v>41.3</v>
      </c>
      <c r="C21" s="10">
        <f>VLOOKUP(A21,Dataset!A16:X55,14,0)</f>
        <v>124.4</v>
      </c>
      <c r="D21" s="10">
        <f>VLOOKUP(A21,Dataset!A16:Y55,18,0)</f>
        <v>75</v>
      </c>
      <c r="E21" s="10">
        <f>VLOOKUP(A21,Dataset!A16:Z55,20,0)</f>
        <v>151.5</v>
      </c>
      <c r="F21" s="10">
        <f>VLOOKUP(A21,Dataset!A16:AA55,22,0)</f>
        <v>75</v>
      </c>
    </row>
    <row r="22" spans="1:6" ht="15" x14ac:dyDescent="0.25">
      <c r="A22" s="7" t="s">
        <v>58</v>
      </c>
      <c r="B22" s="10">
        <f>VLOOKUP(A22,Dataset!A17:X56,7,0)</f>
        <v>-1</v>
      </c>
      <c r="C22" s="10">
        <f>VLOOKUP(A22,Dataset!A17:X56,14,0)</f>
        <v>-1</v>
      </c>
      <c r="D22" s="10">
        <f>VLOOKUP(A22,Dataset!A17:Y56,18,0)</f>
        <v>-1</v>
      </c>
      <c r="E22" s="10">
        <f>VLOOKUP(A22,Dataset!A17:Z56,20,0)</f>
        <v>-1</v>
      </c>
      <c r="F22" s="10">
        <f>VLOOKUP(A22,Dataset!A17:AA56,22,0)</f>
        <v>-1</v>
      </c>
    </row>
    <row r="23" spans="1:6" ht="15" x14ac:dyDescent="0.25">
      <c r="A23" s="7" t="s">
        <v>31</v>
      </c>
      <c r="B23" s="10">
        <f>VLOOKUP(A23,Dataset!A18:X57,7,0)</f>
        <v>45</v>
      </c>
      <c r="C23" s="10">
        <f>VLOOKUP(A23,Dataset!A18:X57,14,0)</f>
        <v>133.4</v>
      </c>
      <c r="D23" s="10">
        <f>VLOOKUP(A23,Dataset!A18:Y57,18,0)</f>
        <v>79.400000000000006</v>
      </c>
      <c r="E23" s="10">
        <f>VLOOKUP(A23,Dataset!A18:Z57,20,0)</f>
        <v>160.9</v>
      </c>
      <c r="F23" s="10">
        <f>VLOOKUP(A23,Dataset!A18:AA57,22,0)</f>
        <v>79.400000000000006</v>
      </c>
    </row>
    <row r="24" spans="1:6" ht="15" x14ac:dyDescent="0.25">
      <c r="A24" s="7" t="s">
        <v>32</v>
      </c>
      <c r="B24" s="10">
        <f>VLOOKUP(A24,Dataset!A19:X58,7,0)</f>
        <v>-1</v>
      </c>
      <c r="C24" s="10">
        <f>VLOOKUP(A24,Dataset!A19:X58,14,0)</f>
        <v>-1</v>
      </c>
      <c r="D24" s="10">
        <f>VLOOKUP(A24,Dataset!A19:Y58,18,0)</f>
        <v>-1</v>
      </c>
      <c r="E24" s="10">
        <f>VLOOKUP(A24,Dataset!A19:Z58,20,0)</f>
        <v>-1</v>
      </c>
      <c r="F24" s="10">
        <f>VLOOKUP(A24,Dataset!A19:AA58,22,0)</f>
        <v>-1</v>
      </c>
    </row>
    <row r="25" spans="1:6" ht="15" x14ac:dyDescent="0.25">
      <c r="A25" s="7" t="s">
        <v>34</v>
      </c>
      <c r="B25" s="10">
        <f>VLOOKUP(A25,Dataset!A20:X59,7,0)</f>
        <v>43.3</v>
      </c>
      <c r="C25" s="10">
        <f>VLOOKUP(A25,Dataset!A20:X59,14,0)</f>
        <v>128.6</v>
      </c>
      <c r="D25" s="10">
        <f>VLOOKUP(A25,Dataset!A20:Y59,18,0)</f>
        <v>79.400000000000006</v>
      </c>
      <c r="E25" s="10">
        <f>VLOOKUP(A25,Dataset!A20:Z59,20,0)</f>
        <v>160.9</v>
      </c>
      <c r="F25" s="10">
        <f>VLOOKUP(A25,Dataset!A20:AA59,22,0)</f>
        <v>79.400000000000006</v>
      </c>
    </row>
    <row r="26" spans="1:6" ht="15" x14ac:dyDescent="0.25">
      <c r="A26" s="7" t="s">
        <v>37</v>
      </c>
      <c r="B26" s="10">
        <f>VLOOKUP(A26,Dataset!A21:X60,7,0)</f>
        <v>49.1</v>
      </c>
      <c r="C26" s="10">
        <f>VLOOKUP(A26,Dataset!A21:X60,14,0)</f>
        <v>146.80000000000001</v>
      </c>
      <c r="D26" s="10">
        <f>VLOOKUP(A26,Dataset!A21:Y60,18,0)</f>
        <v>90.9</v>
      </c>
      <c r="E26" s="10">
        <f>VLOOKUP(A26,Dataset!A21:Z60,20,0)</f>
        <v>183.5</v>
      </c>
      <c r="F26" s="10">
        <f>VLOOKUP(A26,Dataset!A21:AA60,22,0)</f>
        <v>90.9</v>
      </c>
    </row>
    <row r="27" spans="1:6" ht="15" x14ac:dyDescent="0.25">
      <c r="A27" s="7" t="s">
        <v>39</v>
      </c>
      <c r="B27" s="10">
        <f>VLOOKUP(A27,Dataset!A22:X61,7,0)</f>
        <v>51.8</v>
      </c>
      <c r="C27" s="10">
        <f>VLOOKUP(A27,Dataset!A22:X61,14,0)</f>
        <v>156.4</v>
      </c>
      <c r="D27" s="10">
        <f>VLOOKUP(A27,Dataset!A22:Y61,18,0)</f>
        <v>93.1</v>
      </c>
      <c r="E27" s="10">
        <f>VLOOKUP(A27,Dataset!A22:Z61,20,0)</f>
        <v>188.1</v>
      </c>
      <c r="F27" s="10">
        <f>VLOOKUP(A27,Dataset!A22:AA61,22,0)</f>
        <v>93.1</v>
      </c>
    </row>
    <row r="28" spans="1:6" ht="15" x14ac:dyDescent="0.25">
      <c r="A28" s="17" t="s">
        <v>82</v>
      </c>
      <c r="B28" s="29">
        <f>MIN(B18:B27)</f>
        <v>-1</v>
      </c>
      <c r="C28" s="29">
        <f t="shared" ref="C28:F28" si="0">MIN(C18:C27)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5" x14ac:dyDescent="0.25">
      <c r="A29" s="17" t="s">
        <v>83</v>
      </c>
      <c r="B29" s="29">
        <f>MAX(B18:B27)</f>
        <v>51.8</v>
      </c>
      <c r="C29" s="29">
        <f t="shared" ref="C29:F29" si="1">MAX(C18:C27)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5" x14ac:dyDescent="0.25">
      <c r="A30" s="17" t="s">
        <v>84</v>
      </c>
      <c r="B30" s="29">
        <f>AVERAGE(B18:B27)</f>
        <v>29.7</v>
      </c>
      <c r="C30" s="29">
        <f t="shared" ref="C30:F30" si="2">AVERAGE(C18:C27)</f>
        <v>89.499999999999986</v>
      </c>
      <c r="D30" s="29">
        <f t="shared" si="2"/>
        <v>54.08</v>
      </c>
      <c r="E30" s="29">
        <f t="shared" si="2"/>
        <v>109.58999999999999</v>
      </c>
      <c r="F30" s="29">
        <f t="shared" si="2"/>
        <v>54.08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11" sqref="H1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41" t="s">
        <v>178</v>
      </c>
    </row>
    <row r="6" spans="1:10" ht="18.75" x14ac:dyDescent="0.3">
      <c r="A6" s="41" t="s">
        <v>153</v>
      </c>
      <c r="B6" s="41" t="s">
        <v>177</v>
      </c>
    </row>
    <row r="7" spans="1:10" ht="18.75" x14ac:dyDescent="0.3">
      <c r="A7" s="41"/>
      <c r="B7" s="38"/>
    </row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7" t="s">
        <v>121</v>
      </c>
      <c r="B16" s="10">
        <v>20000</v>
      </c>
      <c r="C16" s="1" t="s">
        <v>5</v>
      </c>
      <c r="D16" s="10">
        <v>0</v>
      </c>
      <c r="E16" s="1" t="s">
        <v>6</v>
      </c>
      <c r="F16" s="10">
        <v>24</v>
      </c>
    </row>
    <row r="17" spans="1:6" x14ac:dyDescent="0.25">
      <c r="A17" s="7" t="s">
        <v>122</v>
      </c>
      <c r="B17" s="10">
        <v>20002</v>
      </c>
      <c r="C17" s="1" t="s">
        <v>5</v>
      </c>
      <c r="D17" s="10">
        <v>0</v>
      </c>
      <c r="E17" s="1" t="s">
        <v>6</v>
      </c>
      <c r="F17" s="10">
        <v>24</v>
      </c>
    </row>
    <row r="18" spans="1:6" x14ac:dyDescent="0.25">
      <c r="A18" s="7" t="s">
        <v>123</v>
      </c>
      <c r="B18" s="10">
        <v>20004</v>
      </c>
      <c r="C18" s="1" t="s">
        <v>5</v>
      </c>
      <c r="D18" s="10">
        <v>0</v>
      </c>
      <c r="E18" s="1" t="s">
        <v>6</v>
      </c>
      <c r="F18" s="10">
        <v>24</v>
      </c>
    </row>
    <row r="19" spans="1:6" x14ac:dyDescent="0.25">
      <c r="A19" s="7" t="s">
        <v>124</v>
      </c>
      <c r="B19" s="10">
        <v>20006</v>
      </c>
      <c r="C19" s="1" t="s">
        <v>5</v>
      </c>
      <c r="D19" s="10">
        <v>0</v>
      </c>
      <c r="E19" s="1" t="s">
        <v>6</v>
      </c>
      <c r="F19" s="10">
        <v>24</v>
      </c>
    </row>
    <row r="20" spans="1:6" x14ac:dyDescent="0.25">
      <c r="A20" s="7" t="s">
        <v>125</v>
      </c>
      <c r="B20" s="10">
        <v>20008</v>
      </c>
      <c r="C20" s="1" t="s">
        <v>5</v>
      </c>
      <c r="D20" s="10">
        <v>0</v>
      </c>
      <c r="E20" s="1" t="s">
        <v>6</v>
      </c>
      <c r="F20" s="10">
        <v>24</v>
      </c>
    </row>
    <row r="21" spans="1:6" x14ac:dyDescent="0.25">
      <c r="A21" s="7" t="s">
        <v>126</v>
      </c>
      <c r="B21" s="10">
        <v>20010</v>
      </c>
      <c r="C21" s="1" t="s">
        <v>5</v>
      </c>
      <c r="D21" s="10">
        <v>0</v>
      </c>
      <c r="E21" s="1" t="s">
        <v>6</v>
      </c>
      <c r="F21" s="10">
        <v>24</v>
      </c>
    </row>
    <row r="22" spans="1:6" x14ac:dyDescent="0.25">
      <c r="A22" s="7" t="s">
        <v>127</v>
      </c>
      <c r="B22" s="10">
        <v>20012</v>
      </c>
      <c r="C22" s="1" t="s">
        <v>5</v>
      </c>
      <c r="D22" s="10">
        <v>0</v>
      </c>
      <c r="E22" s="1" t="s">
        <v>6</v>
      </c>
      <c r="F22" s="10">
        <v>24</v>
      </c>
    </row>
    <row r="23" spans="1:6" x14ac:dyDescent="0.25">
      <c r="A23" s="7" t="s">
        <v>128</v>
      </c>
      <c r="B23" s="10">
        <v>20014</v>
      </c>
      <c r="C23" s="1" t="s">
        <v>5</v>
      </c>
      <c r="D23" s="10">
        <v>0</v>
      </c>
      <c r="E23" s="1" t="s">
        <v>6</v>
      </c>
      <c r="F23" s="10">
        <v>24</v>
      </c>
    </row>
    <row r="24" spans="1:6" x14ac:dyDescent="0.25">
      <c r="A24" s="7" t="s">
        <v>129</v>
      </c>
      <c r="B24" s="10">
        <v>20016</v>
      </c>
      <c r="C24" s="1" t="s">
        <v>5</v>
      </c>
      <c r="D24" s="10">
        <v>0</v>
      </c>
      <c r="E24" s="1" t="s">
        <v>6</v>
      </c>
      <c r="F24" s="10">
        <v>24</v>
      </c>
    </row>
    <row r="25" spans="1:6" x14ac:dyDescent="0.25">
      <c r="A25" s="7" t="s">
        <v>130</v>
      </c>
      <c r="B25" s="10">
        <v>20018</v>
      </c>
      <c r="C25" s="1" t="s">
        <v>5</v>
      </c>
      <c r="D25" s="10">
        <v>0</v>
      </c>
      <c r="E25" s="1" t="s">
        <v>6</v>
      </c>
      <c r="F25" s="10">
        <v>24</v>
      </c>
    </row>
    <row r="26" spans="1:6" x14ac:dyDescent="0.25">
      <c r="A26" s="7" t="s">
        <v>131</v>
      </c>
      <c r="B26" s="10">
        <v>20020</v>
      </c>
      <c r="C26" s="1" t="s">
        <v>5</v>
      </c>
      <c r="D26" s="10">
        <v>0</v>
      </c>
      <c r="E26" s="1" t="s">
        <v>6</v>
      </c>
      <c r="F26" s="10">
        <v>24</v>
      </c>
    </row>
    <row r="27" spans="1:6" x14ac:dyDescent="0.25">
      <c r="A27" s="7" t="s">
        <v>132</v>
      </c>
      <c r="B27" s="10">
        <v>20022</v>
      </c>
      <c r="C27" s="1" t="s">
        <v>5</v>
      </c>
      <c r="D27" s="10">
        <v>0</v>
      </c>
      <c r="E27" s="1" t="s">
        <v>6</v>
      </c>
      <c r="F27" s="10">
        <v>24</v>
      </c>
    </row>
    <row r="28" spans="1:6" x14ac:dyDescent="0.25">
      <c r="A28" s="7" t="s">
        <v>133</v>
      </c>
      <c r="B28" s="10">
        <v>20024</v>
      </c>
      <c r="C28" s="1" t="s">
        <v>5</v>
      </c>
      <c r="D28" s="10">
        <v>0</v>
      </c>
      <c r="E28" s="1" t="s">
        <v>6</v>
      </c>
      <c r="F28" s="10">
        <v>24</v>
      </c>
    </row>
    <row r="29" spans="1:6" x14ac:dyDescent="0.25">
      <c r="A29" s="7" t="s">
        <v>134</v>
      </c>
      <c r="B29" s="10">
        <v>20026</v>
      </c>
      <c r="C29" s="1" t="s">
        <v>5</v>
      </c>
      <c r="D29" s="10">
        <v>0</v>
      </c>
      <c r="E29" s="1" t="s">
        <v>6</v>
      </c>
      <c r="F29" s="10">
        <v>24</v>
      </c>
    </row>
    <row r="30" spans="1:6" x14ac:dyDescent="0.25">
      <c r="A30" s="7" t="s">
        <v>135</v>
      </c>
      <c r="B30" s="10">
        <v>20028</v>
      </c>
      <c r="C30" s="1" t="s">
        <v>5</v>
      </c>
      <c r="D30" s="10">
        <v>0</v>
      </c>
      <c r="E30" s="1" t="s">
        <v>6</v>
      </c>
      <c r="F30" s="10">
        <v>24</v>
      </c>
    </row>
    <row r="31" spans="1:6" x14ac:dyDescent="0.25">
      <c r="A31" s="7" t="s">
        <v>136</v>
      </c>
      <c r="B31" s="10">
        <v>20030</v>
      </c>
      <c r="C31" s="1" t="s">
        <v>5</v>
      </c>
      <c r="D31" s="10">
        <v>0</v>
      </c>
      <c r="E31" s="1" t="s">
        <v>6</v>
      </c>
      <c r="F31" s="10">
        <v>24</v>
      </c>
    </row>
    <row r="32" spans="1:6" x14ac:dyDescent="0.25">
      <c r="A32" s="7" t="s">
        <v>137</v>
      </c>
      <c r="B32" s="10">
        <v>20032</v>
      </c>
      <c r="C32" s="1" t="s">
        <v>5</v>
      </c>
      <c r="D32" s="10">
        <v>0</v>
      </c>
      <c r="E32" s="1" t="s">
        <v>6</v>
      </c>
      <c r="F32" s="10">
        <v>24</v>
      </c>
    </row>
    <row r="33" spans="1:6" x14ac:dyDescent="0.25">
      <c r="A33" s="7" t="s">
        <v>138</v>
      </c>
      <c r="B33" s="10">
        <v>20034</v>
      </c>
      <c r="C33" s="1" t="s">
        <v>5</v>
      </c>
      <c r="D33" s="10">
        <v>0</v>
      </c>
      <c r="E33" s="1" t="s">
        <v>6</v>
      </c>
      <c r="F33" s="10">
        <v>24</v>
      </c>
    </row>
    <row r="34" spans="1:6" x14ac:dyDescent="0.25">
      <c r="A34" s="7" t="s">
        <v>139</v>
      </c>
      <c r="B34" s="10">
        <v>20036</v>
      </c>
      <c r="C34" s="1" t="s">
        <v>5</v>
      </c>
      <c r="D34" s="10">
        <v>0</v>
      </c>
      <c r="E34" s="1" t="s">
        <v>6</v>
      </c>
      <c r="F34" s="10">
        <v>24</v>
      </c>
    </row>
    <row r="35" spans="1:6" x14ac:dyDescent="0.25">
      <c r="A35" s="7" t="s">
        <v>140</v>
      </c>
      <c r="B35" s="10">
        <v>20038</v>
      </c>
      <c r="C35" s="1" t="s">
        <v>5</v>
      </c>
      <c r="D35" s="10">
        <v>0</v>
      </c>
      <c r="E35" s="1" t="s">
        <v>6</v>
      </c>
      <c r="F35" s="10">
        <v>24</v>
      </c>
    </row>
    <row r="36" spans="1:6" x14ac:dyDescent="0.25">
      <c r="A36" s="7" t="s">
        <v>141</v>
      </c>
      <c r="B36" s="10">
        <v>20040</v>
      </c>
      <c r="C36" s="1" t="s">
        <v>5</v>
      </c>
      <c r="D36" s="10">
        <v>0</v>
      </c>
      <c r="E36" s="1" t="s">
        <v>6</v>
      </c>
      <c r="F36" s="10">
        <v>24</v>
      </c>
    </row>
    <row r="37" spans="1:6" x14ac:dyDescent="0.25">
      <c r="A37" s="7" t="s">
        <v>142</v>
      </c>
      <c r="B37" s="10">
        <v>20042</v>
      </c>
      <c r="C37" s="1" t="s">
        <v>5</v>
      </c>
      <c r="D37" s="10">
        <v>0</v>
      </c>
      <c r="E37" s="1" t="s">
        <v>6</v>
      </c>
      <c r="F37" s="10">
        <v>24</v>
      </c>
    </row>
    <row r="38" spans="1:6" x14ac:dyDescent="0.25">
      <c r="A38" s="7" t="s">
        <v>143</v>
      </c>
      <c r="B38" s="10">
        <v>20044</v>
      </c>
      <c r="C38" s="1" t="s">
        <v>5</v>
      </c>
      <c r="D38" s="10">
        <v>0</v>
      </c>
      <c r="E38" s="1" t="s">
        <v>6</v>
      </c>
      <c r="F38" s="10">
        <v>24</v>
      </c>
    </row>
    <row r="39" spans="1:6" x14ac:dyDescent="0.25">
      <c r="A39" s="7" t="s">
        <v>144</v>
      </c>
      <c r="B39" s="10">
        <v>20046</v>
      </c>
      <c r="C39" s="1" t="s">
        <v>5</v>
      </c>
      <c r="D39" s="10">
        <v>0</v>
      </c>
      <c r="E39" s="1" t="s">
        <v>6</v>
      </c>
      <c r="F39" s="10">
        <v>24</v>
      </c>
    </row>
    <row r="40" spans="1:6" x14ac:dyDescent="0.25">
      <c r="A40" s="7" t="s">
        <v>145</v>
      </c>
      <c r="B40" s="10">
        <v>20048</v>
      </c>
      <c r="C40" s="1" t="s">
        <v>5</v>
      </c>
      <c r="D40" s="10">
        <v>0</v>
      </c>
      <c r="E40" s="1" t="s">
        <v>6</v>
      </c>
      <c r="F40" s="10">
        <v>24</v>
      </c>
    </row>
    <row r="41" spans="1:6" x14ac:dyDescent="0.25">
      <c r="A41" s="7" t="s">
        <v>146</v>
      </c>
      <c r="B41" s="10">
        <v>20050</v>
      </c>
      <c r="C41" s="1" t="s">
        <v>5</v>
      </c>
      <c r="D41" s="10">
        <v>0</v>
      </c>
      <c r="E41" s="1" t="s">
        <v>6</v>
      </c>
      <c r="F41" s="10">
        <v>24</v>
      </c>
    </row>
    <row r="42" spans="1:6" x14ac:dyDescent="0.25">
      <c r="A42" s="7" t="s">
        <v>147</v>
      </c>
      <c r="B42" s="10">
        <v>20052</v>
      </c>
      <c r="C42" s="1" t="s">
        <v>5</v>
      </c>
      <c r="D42" s="10">
        <v>0</v>
      </c>
      <c r="E42" s="1" t="s">
        <v>6</v>
      </c>
      <c r="F42" s="10">
        <v>24</v>
      </c>
    </row>
    <row r="43" spans="1:6" x14ac:dyDescent="0.25">
      <c r="A43" s="7" t="s">
        <v>148</v>
      </c>
      <c r="B43" s="10">
        <v>20054</v>
      </c>
      <c r="C43" s="1" t="s">
        <v>5</v>
      </c>
      <c r="D43" s="10">
        <v>0</v>
      </c>
      <c r="E43" s="1" t="s">
        <v>6</v>
      </c>
      <c r="F43" s="10">
        <v>24</v>
      </c>
    </row>
    <row r="44" spans="1:6" x14ac:dyDescent="0.25">
      <c r="A44" s="7" t="s">
        <v>149</v>
      </c>
      <c r="B44" s="10">
        <v>20058</v>
      </c>
      <c r="C44" s="1" t="s">
        <v>5</v>
      </c>
      <c r="D44" s="10">
        <v>0</v>
      </c>
      <c r="E44" s="1" t="s">
        <v>6</v>
      </c>
      <c r="F44" s="10">
        <v>24</v>
      </c>
    </row>
    <row r="45" spans="1:6" x14ac:dyDescent="0.25">
      <c r="A45" s="7" t="s">
        <v>150</v>
      </c>
      <c r="B45" s="10">
        <v>20060</v>
      </c>
      <c r="C45" s="1" t="s">
        <v>5</v>
      </c>
      <c r="D45" s="10">
        <v>0</v>
      </c>
      <c r="E45" s="1" t="s">
        <v>6</v>
      </c>
      <c r="F45" s="10">
        <v>24</v>
      </c>
    </row>
    <row r="46" spans="1:6" x14ac:dyDescent="0.25">
      <c r="A46" s="7" t="s">
        <v>112</v>
      </c>
      <c r="B46" s="10">
        <v>21000</v>
      </c>
      <c r="C46" s="1" t="s">
        <v>5</v>
      </c>
      <c r="D46" s="10">
        <v>1</v>
      </c>
      <c r="E46" s="1" t="s">
        <v>6</v>
      </c>
      <c r="F46" s="10">
        <v>24</v>
      </c>
    </row>
    <row r="47" spans="1:6" x14ac:dyDescent="0.25">
      <c r="A47" s="7" t="s">
        <v>113</v>
      </c>
      <c r="B47" s="10">
        <v>21002</v>
      </c>
      <c r="C47" s="1" t="s">
        <v>5</v>
      </c>
      <c r="D47" s="10">
        <v>1</v>
      </c>
      <c r="E47" s="1" t="s">
        <v>6</v>
      </c>
      <c r="F47" s="10">
        <v>24</v>
      </c>
    </row>
    <row r="48" spans="1:6" x14ac:dyDescent="0.25">
      <c r="A48" s="7" t="s">
        <v>114</v>
      </c>
      <c r="B48" s="10">
        <v>21004</v>
      </c>
      <c r="C48" s="1" t="s">
        <v>5</v>
      </c>
      <c r="D48" s="10">
        <v>1</v>
      </c>
      <c r="E48" s="1" t="s">
        <v>6</v>
      </c>
      <c r="F48" s="10">
        <v>24</v>
      </c>
    </row>
    <row r="49" spans="1:6" x14ac:dyDescent="0.25">
      <c r="A49" s="7" t="s">
        <v>115</v>
      </c>
      <c r="B49" s="10">
        <v>21006</v>
      </c>
      <c r="C49" s="1" t="s">
        <v>5</v>
      </c>
      <c r="D49" s="10">
        <v>1</v>
      </c>
      <c r="E49" s="1" t="s">
        <v>6</v>
      </c>
      <c r="F49" s="10">
        <v>24</v>
      </c>
    </row>
    <row r="50" spans="1:6" x14ac:dyDescent="0.25">
      <c r="A50" s="7" t="s">
        <v>116</v>
      </c>
      <c r="B50" s="10">
        <v>21008</v>
      </c>
      <c r="C50" s="1" t="s">
        <v>5</v>
      </c>
      <c r="D50" s="10">
        <v>1</v>
      </c>
      <c r="E50" s="1" t="s">
        <v>6</v>
      </c>
      <c r="F50" s="10">
        <v>24</v>
      </c>
    </row>
    <row r="51" spans="1:6" x14ac:dyDescent="0.25">
      <c r="A51" s="7" t="s">
        <v>117</v>
      </c>
      <c r="B51" s="10">
        <v>21010</v>
      </c>
      <c r="C51" s="1" t="s">
        <v>5</v>
      </c>
      <c r="D51" s="10">
        <v>1</v>
      </c>
      <c r="E51" s="1" t="s">
        <v>6</v>
      </c>
      <c r="F51" s="10">
        <v>24</v>
      </c>
    </row>
    <row r="52" spans="1:6" x14ac:dyDescent="0.25">
      <c r="A52" s="7" t="s">
        <v>118</v>
      </c>
      <c r="B52" s="10">
        <v>21012</v>
      </c>
      <c r="C52" s="1" t="s">
        <v>5</v>
      </c>
      <c r="D52" s="10">
        <v>1</v>
      </c>
      <c r="E52" s="1" t="s">
        <v>6</v>
      </c>
      <c r="F52" s="10">
        <v>24</v>
      </c>
    </row>
    <row r="53" spans="1:6" x14ac:dyDescent="0.25">
      <c r="A53" s="7" t="s">
        <v>119</v>
      </c>
      <c r="B53" s="10">
        <v>21014</v>
      </c>
      <c r="C53" s="1" t="s">
        <v>5</v>
      </c>
      <c r="D53" s="10">
        <v>1</v>
      </c>
      <c r="E53" s="1" t="s">
        <v>6</v>
      </c>
      <c r="F53" s="10">
        <v>24</v>
      </c>
    </row>
    <row r="54" spans="1:6" x14ac:dyDescent="0.25">
      <c r="A54" s="8" t="s">
        <v>120</v>
      </c>
      <c r="B54" s="11">
        <v>21016</v>
      </c>
      <c r="C54" s="1" t="s">
        <v>5</v>
      </c>
      <c r="D54" s="11">
        <v>1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>
      <selection activeCell="F11" sqref="F11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9" ht="21" x14ac:dyDescent="0.35">
      <c r="A1" s="40" t="s">
        <v>85</v>
      </c>
      <c r="B1" s="39" t="s">
        <v>167</v>
      </c>
    </row>
    <row r="2" spans="1:9" ht="18.75" x14ac:dyDescent="0.3">
      <c r="B2" s="38" t="s">
        <v>166</v>
      </c>
    </row>
    <row r="5" spans="1:9" ht="15" x14ac:dyDescent="0.25">
      <c r="B5" s="1" t="s">
        <v>151</v>
      </c>
    </row>
    <row r="6" spans="1:9" ht="15" x14ac:dyDescent="0.25">
      <c r="A6" s="3" t="s">
        <v>53</v>
      </c>
      <c r="B6" s="3" t="s">
        <v>180</v>
      </c>
      <c r="C6" s="46"/>
      <c r="D6" s="46"/>
      <c r="E6" s="46"/>
      <c r="F6" s="46"/>
      <c r="G6" s="46"/>
      <c r="H6" s="46"/>
      <c r="I6" s="46"/>
    </row>
    <row r="7" spans="1:9" ht="15.75" x14ac:dyDescent="0.25">
      <c r="A7" s="3" t="s">
        <v>153</v>
      </c>
      <c r="B7" s="45" t="s">
        <v>179</v>
      </c>
    </row>
    <row r="10" spans="1:9" ht="23.25" x14ac:dyDescent="0.35">
      <c r="A10" s="16" t="s">
        <v>162</v>
      </c>
    </row>
    <row r="11" spans="1:9" ht="15" x14ac:dyDescent="0.25">
      <c r="A11" s="30" t="s">
        <v>86</v>
      </c>
      <c r="B11" s="15" t="s">
        <v>87</v>
      </c>
      <c r="C11" s="15" t="s">
        <v>88</v>
      </c>
    </row>
    <row r="12" spans="1:9" ht="15" x14ac:dyDescent="0.25">
      <c r="A12" s="30">
        <v>44927</v>
      </c>
      <c r="B12" s="15" t="s">
        <v>59</v>
      </c>
      <c r="C12" s="15">
        <v>200</v>
      </c>
    </row>
    <row r="13" spans="1:9" ht="15" x14ac:dyDescent="0.25">
      <c r="A13" s="30">
        <v>44928</v>
      </c>
      <c r="B13" s="15" t="s">
        <v>60</v>
      </c>
      <c r="C13" s="15">
        <v>20</v>
      </c>
    </row>
    <row r="14" spans="1:9" ht="15" x14ac:dyDescent="0.25">
      <c r="A14" s="30">
        <v>44929</v>
      </c>
      <c r="B14" s="15" t="s">
        <v>61</v>
      </c>
      <c r="C14" s="15">
        <v>50</v>
      </c>
    </row>
    <row r="15" spans="1:9" ht="15" x14ac:dyDescent="0.25">
      <c r="A15" s="30">
        <v>44930</v>
      </c>
      <c r="B15" s="15" t="s">
        <v>62</v>
      </c>
      <c r="C15" s="15">
        <v>20</v>
      </c>
    </row>
    <row r="16" spans="1:9" ht="15" x14ac:dyDescent="0.25">
      <c r="A16" s="30">
        <v>44931</v>
      </c>
      <c r="B16" s="15" t="s">
        <v>63</v>
      </c>
      <c r="C16" s="15">
        <v>10</v>
      </c>
    </row>
    <row r="17" spans="1:3" ht="15" x14ac:dyDescent="0.25">
      <c r="A17" s="30">
        <v>44932</v>
      </c>
      <c r="B17" s="15" t="s">
        <v>154</v>
      </c>
      <c r="C17" s="15">
        <v>150</v>
      </c>
    </row>
    <row r="18" spans="1:3" ht="15" x14ac:dyDescent="0.25">
      <c r="A18" s="30">
        <v>44933</v>
      </c>
      <c r="B18" s="15" t="s">
        <v>155</v>
      </c>
      <c r="C18" s="15">
        <v>80</v>
      </c>
    </row>
    <row r="19" spans="1:3" ht="15" x14ac:dyDescent="0.25">
      <c r="A19" s="30">
        <v>44934</v>
      </c>
      <c r="B19" s="15" t="s">
        <v>156</v>
      </c>
      <c r="C19" s="15">
        <v>20</v>
      </c>
    </row>
    <row r="20" spans="1:3" ht="15" x14ac:dyDescent="0.25">
      <c r="A20" s="30">
        <v>44935</v>
      </c>
      <c r="B20" s="15" t="s">
        <v>157</v>
      </c>
      <c r="C20" s="15">
        <v>30</v>
      </c>
    </row>
    <row r="21" spans="1:3" ht="15" x14ac:dyDescent="0.25">
      <c r="A21" s="30">
        <v>44936</v>
      </c>
      <c r="B21" s="15" t="s">
        <v>158</v>
      </c>
      <c r="C21" s="15">
        <v>20</v>
      </c>
    </row>
    <row r="22" spans="1:3" ht="15" x14ac:dyDescent="0.25">
      <c r="B22" s="15" t="s">
        <v>159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Normal="100" workbookViewId="0">
      <selection activeCell="N23" sqref="N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C4" s="46" t="s">
        <v>181</v>
      </c>
    </row>
    <row r="5" spans="1:14" ht="18.75" x14ac:dyDescent="0.3">
      <c r="A5" s="41" t="s">
        <v>153</v>
      </c>
      <c r="B5" s="1"/>
      <c r="C5" s="46" t="s">
        <v>182</v>
      </c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168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42">
        <f>INDEX($B$10:$J$18,MATCH(A23,$M$10:$M$18,0),MATCH(B23,$M$10:$M$18,0))</f>
        <v>95</v>
      </c>
      <c r="D23" s="2" t="s">
        <v>181</v>
      </c>
    </row>
    <row r="24" spans="1:14" ht="15" x14ac:dyDescent="0.25">
      <c r="A24" s="7">
        <v>10100</v>
      </c>
      <c r="B24" s="10">
        <v>10104</v>
      </c>
      <c r="C24" s="42">
        <f t="shared" ref="C24:C35" si="0">INDEX($B$10:$J$18,MATCH(A24,$M$10:$M$18,0),MATCH(B24,$M$10:$M$18,0))</f>
        <v>-1</v>
      </c>
      <c r="D24" s="2" t="s">
        <v>183</v>
      </c>
    </row>
    <row r="25" spans="1:14" ht="15" x14ac:dyDescent="0.25">
      <c r="A25" s="7">
        <v>10108</v>
      </c>
      <c r="B25" s="10">
        <v>10102</v>
      </c>
      <c r="C25" s="42">
        <f t="shared" si="0"/>
        <v>160</v>
      </c>
      <c r="D25" s="2" t="s">
        <v>184</v>
      </c>
    </row>
    <row r="26" spans="1:14" ht="15" x14ac:dyDescent="0.25">
      <c r="A26" s="7">
        <v>10100</v>
      </c>
      <c r="B26" s="10">
        <v>10106</v>
      </c>
      <c r="C26" s="42">
        <f t="shared" si="0"/>
        <v>185</v>
      </c>
      <c r="D26" s="2" t="s">
        <v>185</v>
      </c>
    </row>
    <row r="27" spans="1:14" ht="15" x14ac:dyDescent="0.25">
      <c r="A27" s="7">
        <v>10108</v>
      </c>
      <c r="B27" s="10">
        <v>10110</v>
      </c>
      <c r="C27" s="42">
        <f t="shared" si="0"/>
        <v>50</v>
      </c>
      <c r="D27" s="2" t="s">
        <v>186</v>
      </c>
    </row>
    <row r="28" spans="1:14" ht="15" x14ac:dyDescent="0.25">
      <c r="A28" s="7">
        <v>10102</v>
      </c>
      <c r="B28" s="10">
        <v>10104</v>
      </c>
      <c r="C28" s="42">
        <f t="shared" si="0"/>
        <v>-1</v>
      </c>
      <c r="D28" s="2" t="s">
        <v>187</v>
      </c>
    </row>
    <row r="29" spans="1:14" ht="15" x14ac:dyDescent="0.25">
      <c r="A29" s="7">
        <v>10106</v>
      </c>
      <c r="B29" s="10">
        <v>10108</v>
      </c>
      <c r="C29" s="42">
        <f t="shared" si="0"/>
        <v>70</v>
      </c>
      <c r="D29" s="2" t="s">
        <v>188</v>
      </c>
    </row>
    <row r="30" spans="1:14" ht="15" x14ac:dyDescent="0.25">
      <c r="A30" s="7">
        <v>10102</v>
      </c>
      <c r="B30" s="10">
        <v>10106</v>
      </c>
      <c r="C30" s="42">
        <f t="shared" si="0"/>
        <v>90</v>
      </c>
      <c r="D30" s="2" t="s">
        <v>189</v>
      </c>
    </row>
    <row r="31" spans="1:14" ht="15" x14ac:dyDescent="0.25">
      <c r="A31" s="7">
        <v>10110</v>
      </c>
      <c r="B31" s="10">
        <v>10114</v>
      </c>
      <c r="C31" s="42">
        <f t="shared" si="0"/>
        <v>180</v>
      </c>
      <c r="D31" s="2" t="s">
        <v>190</v>
      </c>
    </row>
    <row r="32" spans="1:14" ht="15" x14ac:dyDescent="0.25">
      <c r="A32" s="7">
        <v>10104</v>
      </c>
      <c r="B32" s="10">
        <v>10106</v>
      </c>
      <c r="C32" s="42">
        <f t="shared" si="0"/>
        <v>60</v>
      </c>
      <c r="D32" s="2" t="s">
        <v>191</v>
      </c>
    </row>
    <row r="33" spans="1:4" ht="15" x14ac:dyDescent="0.25">
      <c r="A33" s="7">
        <v>10110</v>
      </c>
      <c r="B33" s="10">
        <v>10112</v>
      </c>
      <c r="C33" s="42">
        <f t="shared" si="0"/>
        <v>115</v>
      </c>
      <c r="D33" s="2" t="s">
        <v>192</v>
      </c>
    </row>
    <row r="34" spans="1:4" ht="15" x14ac:dyDescent="0.25">
      <c r="A34" s="7">
        <v>10100</v>
      </c>
      <c r="B34" s="10">
        <v>10114</v>
      </c>
      <c r="C34" s="42">
        <f t="shared" si="0"/>
        <v>480</v>
      </c>
      <c r="D34" s="2" t="s">
        <v>193</v>
      </c>
    </row>
    <row r="35" spans="1:4" ht="15" x14ac:dyDescent="0.25">
      <c r="A35" s="8">
        <v>10112</v>
      </c>
      <c r="B35" s="11">
        <v>10116</v>
      </c>
      <c r="C35" s="11">
        <f t="shared" si="0"/>
        <v>105</v>
      </c>
      <c r="D35" s="2" t="s">
        <v>194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Abhishek Pandit</cp:lastModifiedBy>
  <dcterms:created xsi:type="dcterms:W3CDTF">2015-02-10T17:33:11Z</dcterms:created>
  <dcterms:modified xsi:type="dcterms:W3CDTF">2023-12-11T09:49:50Z</dcterms:modified>
</cp:coreProperties>
</file>